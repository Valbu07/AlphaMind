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éctor Mayor\Documents\"/>
    </mc:Choice>
  </mc:AlternateContent>
  <bookViews>
    <workbookView xWindow="0" yWindow="0" windowWidth="20490" windowHeight="89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1" l="1"/>
  <c r="H21" i="1"/>
  <c r="I4" i="1"/>
  <c r="I3" i="1"/>
  <c r="F3" i="1"/>
  <c r="H19" i="1"/>
  <c r="H20" i="1"/>
  <c r="F19" i="1"/>
  <c r="F20" i="1"/>
  <c r="F18" i="1"/>
  <c r="H18" i="1" s="1"/>
  <c r="L21" i="1" s="1"/>
  <c r="F10" i="1"/>
  <c r="I10" i="1" s="1"/>
  <c r="F9" i="1"/>
  <c r="I9" i="1" s="1"/>
  <c r="F8" i="1"/>
  <c r="I8" i="1" s="1"/>
  <c r="F7" i="1"/>
  <c r="I7" i="1" s="1"/>
  <c r="F6" i="1"/>
  <c r="I6" i="1" s="1"/>
  <c r="F5" i="1"/>
  <c r="I5" i="1" s="1"/>
  <c r="F4" i="1"/>
  <c r="I11" i="1" l="1"/>
  <c r="J14" i="1" s="1"/>
</calcChain>
</file>

<file path=xl/sharedStrings.xml><?xml version="1.0" encoding="utf-8"?>
<sst xmlns="http://schemas.openxmlformats.org/spreadsheetml/2006/main" count="31" uniqueCount="26">
  <si>
    <t>No.</t>
  </si>
  <si>
    <t>PRODUCTO</t>
  </si>
  <si>
    <t>CANTIDAD</t>
  </si>
  <si>
    <t>VALOR UNITARIO</t>
  </si>
  <si>
    <t>VALOR</t>
  </si>
  <si>
    <t>CEPILLO DIENTES</t>
  </si>
  <si>
    <t>TOTAL PPLS</t>
  </si>
  <si>
    <t>TOTAL</t>
  </si>
  <si>
    <t>CREMA DENTAL</t>
  </si>
  <si>
    <t>DESODORANTE</t>
  </si>
  <si>
    <t>PEINILLA PARA CABELLO</t>
  </si>
  <si>
    <t>JABÓN DE BAÑO</t>
  </si>
  <si>
    <t>PAPEL HIGIENICO</t>
  </si>
  <si>
    <t>TOALLA HIGENICA</t>
  </si>
  <si>
    <t>CUCHILLA DE AFEITAR</t>
  </si>
  <si>
    <t>KIT DE ASEO PPL</t>
  </si>
  <si>
    <t>ALIMENTACIÓN PPL</t>
  </si>
  <si>
    <t>DESAYUNO</t>
  </si>
  <si>
    <t>ALMUERZO</t>
  </si>
  <si>
    <t>CENA</t>
  </si>
  <si>
    <t>CANTIDAD POR PERSONA</t>
  </si>
  <si>
    <t>TOTAL AÑO POR PERSONA</t>
  </si>
  <si>
    <t>TOTAL PPLS AÑO</t>
  </si>
  <si>
    <t>TOTAL AÑO X PERSONA</t>
  </si>
  <si>
    <t xml:space="preserve">KIT ASEO + ALIMENTACIÓN </t>
  </si>
  <si>
    <t xml:space="preserve">PROMEDIO CETRA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</si>
</sst>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4" fontId="0" fillId="0" borderId="0" xfId="0" applyNumberFormat="1"/>
    <xf numFmtId="44" fontId="2" fillId="0" borderId="0" xfId="0" applyNumberFormat="1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zoomScale="84" zoomScaleNormal="84" workbookViewId="0">
      <selection activeCell="B25" sqref="B25"/>
    </sheetView>
  </sheetViews>
  <sheetFormatPr baseColWidth="10" defaultRowHeight="15" x14ac:dyDescent="0.25"/>
  <cols>
    <col min="1" max="1" width="5.5703125" customWidth="1"/>
    <col min="2" max="2" width="22.28515625" customWidth="1"/>
    <col min="3" max="3" width="22.7109375" customWidth="1"/>
    <col min="4" max="4" width="23.5703125" bestFit="1" customWidth="1"/>
    <col min="5" max="5" width="14.42578125" customWidth="1"/>
    <col min="6" max="8" width="28.7109375" customWidth="1"/>
    <col min="9" max="9" width="21.7109375" customWidth="1"/>
    <col min="10" max="10" width="27.42578125" customWidth="1"/>
    <col min="12" max="12" width="18.28515625" bestFit="1" customWidth="1"/>
  </cols>
  <sheetData>
    <row r="1" spans="1:12" x14ac:dyDescent="0.25">
      <c r="A1" s="9" t="s">
        <v>15</v>
      </c>
      <c r="B1" s="9"/>
      <c r="C1" s="9"/>
      <c r="D1" s="9"/>
      <c r="E1" s="9"/>
      <c r="F1" s="9"/>
      <c r="G1" s="9"/>
      <c r="H1" s="9"/>
      <c r="I1" s="9"/>
    </row>
    <row r="2" spans="1:12" x14ac:dyDescent="0.25">
      <c r="A2" s="4" t="s">
        <v>0</v>
      </c>
      <c r="B2" s="4" t="s">
        <v>1</v>
      </c>
      <c r="C2" s="4" t="s">
        <v>3</v>
      </c>
      <c r="D2" s="4" t="s">
        <v>2</v>
      </c>
      <c r="E2" s="4" t="s">
        <v>6</v>
      </c>
      <c r="F2" s="4" t="s">
        <v>23</v>
      </c>
      <c r="G2" s="4"/>
      <c r="H2" s="4"/>
      <c r="I2" s="4" t="s">
        <v>4</v>
      </c>
    </row>
    <row r="3" spans="1:12" x14ac:dyDescent="0.25">
      <c r="A3" s="5"/>
      <c r="B3" s="5" t="s">
        <v>5</v>
      </c>
      <c r="C3" s="6">
        <v>2000</v>
      </c>
      <c r="D3" s="5">
        <v>4</v>
      </c>
      <c r="E3" s="5">
        <v>350</v>
      </c>
      <c r="F3" s="5">
        <f>+E3*D3</f>
        <v>1400</v>
      </c>
      <c r="G3" s="5"/>
      <c r="H3" s="5"/>
      <c r="I3" s="7">
        <f>+F3*C3</f>
        <v>2800000</v>
      </c>
    </row>
    <row r="4" spans="1:12" x14ac:dyDescent="0.25">
      <c r="A4" s="5"/>
      <c r="B4" s="5" t="s">
        <v>8</v>
      </c>
      <c r="C4" s="6">
        <v>3000</v>
      </c>
      <c r="D4" s="5">
        <v>4</v>
      </c>
      <c r="E4" s="5">
        <v>350</v>
      </c>
      <c r="F4" s="5">
        <f t="shared" ref="F4:F10" si="0">+E4*D4</f>
        <v>1400</v>
      </c>
      <c r="G4" s="5"/>
      <c r="H4" s="5"/>
      <c r="I4" s="7">
        <f>+F4*C4</f>
        <v>4200000</v>
      </c>
    </row>
    <row r="5" spans="1:12" x14ac:dyDescent="0.25">
      <c r="A5" s="5"/>
      <c r="B5" s="5" t="s">
        <v>9</v>
      </c>
      <c r="C5" s="6">
        <v>6000</v>
      </c>
      <c r="D5" s="5">
        <v>4</v>
      </c>
      <c r="E5" s="5">
        <v>350</v>
      </c>
      <c r="F5" s="5">
        <f t="shared" si="0"/>
        <v>1400</v>
      </c>
      <c r="G5" s="5"/>
      <c r="H5" s="5"/>
      <c r="I5" s="7">
        <f t="shared" ref="I5:I10" si="1">+F5*C5</f>
        <v>8400000</v>
      </c>
    </row>
    <row r="6" spans="1:12" x14ac:dyDescent="0.25">
      <c r="A6" s="5"/>
      <c r="B6" s="5" t="s">
        <v>10</v>
      </c>
      <c r="C6" s="6">
        <v>1500</v>
      </c>
      <c r="D6" s="5">
        <v>4</v>
      </c>
      <c r="E6" s="5">
        <v>350</v>
      </c>
      <c r="F6" s="5">
        <f t="shared" si="0"/>
        <v>1400</v>
      </c>
      <c r="G6" s="5"/>
      <c r="H6" s="5"/>
      <c r="I6" s="7">
        <f t="shared" si="1"/>
        <v>2100000</v>
      </c>
    </row>
    <row r="7" spans="1:12" x14ac:dyDescent="0.25">
      <c r="A7" s="5"/>
      <c r="B7" s="5" t="s">
        <v>11</v>
      </c>
      <c r="C7" s="6">
        <v>2500</v>
      </c>
      <c r="D7" s="5">
        <v>4</v>
      </c>
      <c r="E7" s="5">
        <v>350</v>
      </c>
      <c r="F7" s="5">
        <f t="shared" si="0"/>
        <v>1400</v>
      </c>
      <c r="G7" s="5"/>
      <c r="H7" s="5"/>
      <c r="I7" s="7">
        <f t="shared" si="1"/>
        <v>3500000</v>
      </c>
    </row>
    <row r="8" spans="1:12" x14ac:dyDescent="0.25">
      <c r="A8" s="5"/>
      <c r="B8" s="5" t="s">
        <v>12</v>
      </c>
      <c r="C8" s="6">
        <v>2500</v>
      </c>
      <c r="D8" s="5">
        <v>4</v>
      </c>
      <c r="E8" s="5">
        <v>350</v>
      </c>
      <c r="F8" s="5">
        <f t="shared" si="0"/>
        <v>1400</v>
      </c>
      <c r="G8" s="5"/>
      <c r="H8" s="5"/>
      <c r="I8" s="7">
        <f t="shared" si="1"/>
        <v>3500000</v>
      </c>
    </row>
    <row r="9" spans="1:12" x14ac:dyDescent="0.25">
      <c r="A9" s="5"/>
      <c r="B9" s="5" t="s">
        <v>13</v>
      </c>
      <c r="C9" s="6">
        <v>20000</v>
      </c>
      <c r="D9" s="5">
        <v>4</v>
      </c>
      <c r="E9" s="5">
        <v>350</v>
      </c>
      <c r="F9" s="5">
        <f t="shared" si="0"/>
        <v>1400</v>
      </c>
      <c r="G9" s="5"/>
      <c r="H9" s="5"/>
      <c r="I9" s="7">
        <f t="shared" si="1"/>
        <v>28000000</v>
      </c>
    </row>
    <row r="10" spans="1:12" x14ac:dyDescent="0.25">
      <c r="A10" s="5"/>
      <c r="B10" s="5" t="s">
        <v>14</v>
      </c>
      <c r="C10" s="6">
        <v>9000</v>
      </c>
      <c r="D10" s="5">
        <v>4</v>
      </c>
      <c r="E10" s="5">
        <v>350</v>
      </c>
      <c r="F10" s="5">
        <f t="shared" si="0"/>
        <v>1400</v>
      </c>
      <c r="G10" s="5"/>
      <c r="H10" s="5"/>
      <c r="I10" s="7">
        <f t="shared" si="1"/>
        <v>12600000</v>
      </c>
    </row>
    <row r="11" spans="1:12" ht="24.75" customHeight="1" x14ac:dyDescent="0.25">
      <c r="I11" s="3">
        <f>+I3+I4+I5+I6+I7+I8+I9+I10</f>
        <v>65100000</v>
      </c>
      <c r="L11" s="1">
        <v>2580000000</v>
      </c>
    </row>
    <row r="14" spans="1:12" x14ac:dyDescent="0.25">
      <c r="J14" s="2">
        <f>+L11-I11</f>
        <v>2514900000</v>
      </c>
    </row>
    <row r="16" spans="1:12" x14ac:dyDescent="0.25">
      <c r="A16" s="9" t="s">
        <v>16</v>
      </c>
      <c r="B16" s="9"/>
      <c r="C16" s="9"/>
      <c r="D16" s="9"/>
      <c r="E16" s="9"/>
      <c r="F16" s="9"/>
      <c r="G16" s="9"/>
      <c r="H16" s="9"/>
      <c r="I16" s="9"/>
    </row>
    <row r="17" spans="1:12" x14ac:dyDescent="0.25">
      <c r="A17" s="4" t="s">
        <v>0</v>
      </c>
      <c r="B17" s="4" t="s">
        <v>1</v>
      </c>
      <c r="C17" s="4" t="s">
        <v>3</v>
      </c>
      <c r="D17" s="4" t="s">
        <v>20</v>
      </c>
      <c r="E17" s="4" t="s">
        <v>6</v>
      </c>
      <c r="F17" s="4" t="s">
        <v>21</v>
      </c>
      <c r="G17" s="4"/>
      <c r="H17" s="4" t="s">
        <v>22</v>
      </c>
      <c r="I17" s="4" t="s">
        <v>4</v>
      </c>
    </row>
    <row r="18" spans="1:12" x14ac:dyDescent="0.25">
      <c r="A18" s="5"/>
      <c r="B18" s="5" t="s">
        <v>17</v>
      </c>
      <c r="C18" s="6">
        <v>10000</v>
      </c>
      <c r="D18" s="5">
        <v>365</v>
      </c>
      <c r="E18" s="5">
        <v>350</v>
      </c>
      <c r="F18" s="7">
        <f>+C18*D18</f>
        <v>3650000</v>
      </c>
      <c r="G18" s="7"/>
      <c r="H18" s="7">
        <f>+F18*E18</f>
        <v>1277500000</v>
      </c>
      <c r="I18" s="7"/>
    </row>
    <row r="19" spans="1:12" x14ac:dyDescent="0.25">
      <c r="A19" s="5"/>
      <c r="B19" s="5" t="s">
        <v>18</v>
      </c>
      <c r="C19" s="6">
        <v>13000</v>
      </c>
      <c r="D19" s="5">
        <v>365</v>
      </c>
      <c r="E19" s="5">
        <v>350</v>
      </c>
      <c r="F19" s="7">
        <f t="shared" ref="F19:F20" si="2">+C19*D19</f>
        <v>4745000</v>
      </c>
      <c r="G19" s="7"/>
      <c r="H19" s="7">
        <f t="shared" ref="H19:H20" si="3">+F19*E19</f>
        <v>1660750000</v>
      </c>
      <c r="I19" s="7"/>
    </row>
    <row r="20" spans="1:12" x14ac:dyDescent="0.25">
      <c r="A20" s="5"/>
      <c r="B20" s="5" t="s">
        <v>19</v>
      </c>
      <c r="C20" s="6">
        <v>13000</v>
      </c>
      <c r="D20" s="5">
        <v>365</v>
      </c>
      <c r="E20" s="5">
        <v>350</v>
      </c>
      <c r="F20" s="7">
        <f t="shared" si="2"/>
        <v>4745000</v>
      </c>
      <c r="G20" s="7"/>
      <c r="H20" s="7">
        <f t="shared" si="3"/>
        <v>1660750000</v>
      </c>
      <c r="I20" s="7"/>
    </row>
    <row r="21" spans="1:12" x14ac:dyDescent="0.25">
      <c r="A21" s="5"/>
      <c r="B21" s="5"/>
      <c r="C21" s="6"/>
      <c r="D21" s="5"/>
      <c r="E21" s="5"/>
      <c r="F21" s="5"/>
      <c r="G21" s="5" t="s">
        <v>7</v>
      </c>
      <c r="H21" s="8">
        <f>+H18+H19+H20</f>
        <v>4599000000</v>
      </c>
      <c r="I21" s="7"/>
      <c r="L21" s="2" t="e">
        <f>+#REF!-H18</f>
        <v>#REF!</v>
      </c>
    </row>
    <row r="22" spans="1:12" x14ac:dyDescent="0.25">
      <c r="A22" s="5"/>
      <c r="B22" s="5"/>
      <c r="C22" s="6"/>
      <c r="D22" s="5"/>
      <c r="E22" s="5"/>
      <c r="F22" s="5"/>
      <c r="G22" s="5"/>
      <c r="H22" s="5"/>
      <c r="I22" s="7"/>
    </row>
    <row r="23" spans="1:12" x14ac:dyDescent="0.25">
      <c r="A23" s="5"/>
      <c r="B23" s="5"/>
      <c r="C23" s="6"/>
      <c r="D23" s="5"/>
      <c r="E23" s="5"/>
      <c r="F23" s="5"/>
      <c r="G23" s="5"/>
      <c r="H23" s="5"/>
      <c r="I23" s="7"/>
    </row>
    <row r="24" spans="1:12" x14ac:dyDescent="0.25">
      <c r="I24" s="3"/>
    </row>
    <row r="25" spans="1:12" x14ac:dyDescent="0.25">
      <c r="B25" t="s">
        <v>25</v>
      </c>
    </row>
    <row r="28" spans="1:12" x14ac:dyDescent="0.25">
      <c r="H28" t="s">
        <v>24</v>
      </c>
      <c r="I28" s="3">
        <f>+I11+H21</f>
        <v>4664100000</v>
      </c>
    </row>
  </sheetData>
  <mergeCells count="2">
    <mergeCell ref="A1:I1"/>
    <mergeCell ref="A16:I16"/>
  </mergeCells>
  <pageMargins left="0.7" right="0.7" top="0.75" bottom="0.75" header="0.3" footer="0.3"/>
  <pageSetup paperSize="1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Viviana Beltran Sarmiento</dc:creator>
  <cp:lastModifiedBy>Héctor Mayor</cp:lastModifiedBy>
  <dcterms:created xsi:type="dcterms:W3CDTF">2024-09-27T17:42:30Z</dcterms:created>
  <dcterms:modified xsi:type="dcterms:W3CDTF">2024-10-01T13:36:03Z</dcterms:modified>
</cp:coreProperties>
</file>
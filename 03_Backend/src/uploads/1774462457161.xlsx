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éctor Mayor\Documents\"/>
    </mc:Choice>
  </mc:AlternateContent>
  <bookViews>
    <workbookView xWindow="0" yWindow="0" windowWidth="20490" windowHeight="89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22" i="1" l="1"/>
  <c r="N30" i="1" s="1"/>
  <c r="N25" i="1"/>
</calcChain>
</file>

<file path=xl/sharedStrings.xml><?xml version="1.0" encoding="utf-8"?>
<sst xmlns="http://schemas.openxmlformats.org/spreadsheetml/2006/main" count="112" uniqueCount="97">
  <si>
    <t>N.</t>
  </si>
  <si>
    <t>META</t>
  </si>
  <si>
    <t>ACTIVIDAD</t>
  </si>
  <si>
    <t>CUMPLIMIENTO % POR AÑO</t>
  </si>
  <si>
    <t>NO. META</t>
  </si>
  <si>
    <t>SGOB 018</t>
  </si>
  <si>
    <t>Garantizar el funcionamiento de la mesa técnica interinstitucional de justicia, prevención y convivencia de la ciudad de Soacha</t>
  </si>
  <si>
    <t>SGOB 020</t>
  </si>
  <si>
    <t>SGOB 023</t>
  </si>
  <si>
    <t>SGOB 026</t>
  </si>
  <si>
    <t>SGOB 021</t>
  </si>
  <si>
    <t>SGOB 022</t>
  </si>
  <si>
    <t>SGOB 019</t>
  </si>
  <si>
    <t>Implementar una ruta integral de acceso a la justicia con enfoque de género en la ciudad de Soacha.</t>
  </si>
  <si>
    <t>Implementar el modelo de barras del estudio jurídico procesal para inspectores, corregidores y comisarios de la ciudad de Soacha.</t>
  </si>
  <si>
    <t>Garantizar el funcionamiento del comité de demolición de la ciudad de Soacha.</t>
  </si>
  <si>
    <t xml:space="preserve">Garantizar el funcionamiento del Centro Transitorio para la atención de adolescentes. </t>
  </si>
  <si>
    <t>Implementar una estrategia para el fortalecimiento de las inspecciones de policía y comisarías de familia de la ciudad de Soacha</t>
  </si>
  <si>
    <t>Implementar el "programa de justicia juvenil restaurativa" en la ciudad de Soacha</t>
  </si>
  <si>
    <t>% ACTIVIDAD</t>
  </si>
  <si>
    <t>CONTRATAR EL PERSONAL PARA LA  IMPLEMENTACION DE LA RUTA INTEGRAL Y EL DESARROLLO DE CAMPAÑAS DE SENSIBILIZACIÓN</t>
  </si>
  <si>
    <t>OBJETIVO</t>
  </si>
  <si>
    <t xml:space="preserve">CONTRATAR UN OPERADOR LOGISTICO QUE GESTIONE LOS CASOS DEL COMITÉ DE DEMOLICION </t>
  </si>
  <si>
    <t>CONTRATAR EL PERSONAL  PARA EL CORRECTO FUNCIONAMIENTO DEL CENTRO TRANSITORIO PARA LA ATENCIÓN DE ADOLESCENTES</t>
  </si>
  <si>
    <t>GARANTIZAR EL PAGO DE SERVICIOS PÚBLICOS PARA EL FUNCIONAMIENTO DEL CENTRO TRANSITORIO PARA LA ATENCIÓN DE ADOLESCENTES</t>
  </si>
  <si>
    <t>CONTRATAR PERSONAL DE APOYO A LOS DESPACHOS Y ESTRATEGIAS DE INTERVENCION</t>
  </si>
  <si>
    <t>GARANTIZAR EL PAGO DE SERVICIOS PÚBLICOS PARA EL FUNCIONAMIENTO DEL LAS INSPECCIONES DE POLICIA Y COMISARIAS</t>
  </si>
  <si>
    <t>GARANTIZAR EL FUNCIONAMIENTO DE LOS VEHÍCULOS</t>
  </si>
  <si>
    <t>CONTRATAR PERSONAL PARA EL FUNCIONAMIENTO DE LA MESA TÉCNICA INTERINSTITUCIONAL DE JUSTICIA, PREVENCIÓN Y CONVIVIENCIA</t>
  </si>
  <si>
    <t>CONTRATAR UN OPERADOR LOGISTICO QUE SUMINISTRE LOS ELEMENTOS NECESARIOS PARA COADYUDAR AL FUNCIONAMIENTO DE LA MESA TÉCNICA INTERINSTITUCIONAL DE JUSTICIA, PREVENCIÓN Y CONVIVENCIA.</t>
  </si>
  <si>
    <t>DOTAR  DE MUEBLES Y ENSERES, EQUIPOS Y PAPELERIA DEL CENTRO TRANSITORIO PARA LA ATENCIÓN DE ADOLESCENTES</t>
  </si>
  <si>
    <t>REALIZAR ACOMPAÑAMIENTO, GESTIÓN PARA LAS CAPACITACIONES A LOS INSPECTORES, CORREGIDORES Y COMISARIOS.</t>
  </si>
  <si>
    <t>CONTRATAR UN OPERADOR LOGISTICO PARA EL FORTALECIMIENTO DE LAS INSPECCIONES DE POLICIA Y COMISARIAS DE FAMILIA</t>
  </si>
  <si>
    <t>CODIGO DE PRODUCTO</t>
  </si>
  <si>
    <t>NOMBRE DE PROYECTO</t>
  </si>
  <si>
    <t>OBJETIVO DEL PROYECTO</t>
  </si>
  <si>
    <t xml:space="preserve">DISEÑO E IMPLEMENTACIÓN DE LA RUTA INTEGRAL </t>
  </si>
  <si>
    <t>CONTRATAR UN OPERADOR LOGISTICO QUE APOYE EL FUNCIONAMIENTO DE LA RUTA INTEGRAL</t>
  </si>
  <si>
    <t>CONTRATAR UN OPERADOR LOGISTICO QUE APOYE EL FUNCIONAMIENTO DEL PROGRAMA DE JUSTICIA JUVENIL RESTAURATIVA</t>
  </si>
  <si>
    <t>PERSONAL PARA LA IMPLEMENTACIÓN DEL PROGRAMA JUSTICIA JUVENIL RESTAURATIVA</t>
  </si>
  <si>
    <t>4102027</t>
  </si>
  <si>
    <t>CONTRATAR UN OPERADOR LOGISTICO QUE SUMINISTRE LOS INSUMOS NECESARIOS PARA EL PROGRAMA FORMATIVO  DE INSPECTORES, CORREGIDORES Y COMISARIOS</t>
  </si>
  <si>
    <t>PERSONAL PARA LA IMPLEMENTACIÓN DEL PROGRAMA FORMATIVO DE INSPECTORES, CORREGIDORES Y COMISARIOS</t>
  </si>
  <si>
    <t>1202012</t>
  </si>
  <si>
    <t>1202007</t>
  </si>
  <si>
    <t>Construir la ruta integral de acceso a la justicia y el programa de justicia juvenil en la ciudad de Soacha</t>
  </si>
  <si>
    <t>Realizar una estrategia que permita el desarrollo del comité de demolición de la ciudad de Soacha.</t>
  </si>
  <si>
    <t>Implementar una estrategia que permita el funcionamiento de la mesa técnica interinstitucional de justicia en la ciudad de Soacha.</t>
  </si>
  <si>
    <t>Proveer herramientas para el funcionamiento del Centro Transitorio para la atención de adolescentes de la ciudad de Soacha</t>
  </si>
  <si>
    <t>Realizar una estrategia para el fortalecimiento de las inspecciones de policía y comisarías de familia de la ciudad de Soacha</t>
  </si>
  <si>
    <t>Fortalecer la ruta integral de acceso a la justicia y el programa de justicia juvenil  en aras de mitigar la desigualdad en los procesos con enfoque poblacional</t>
  </si>
  <si>
    <t>Potencializar la articulación interinstitucional, permitiendo el funcionamiento de la mesa técnica de justicia en la ciudad de Soacha</t>
  </si>
  <si>
    <t>Fortalecer los procesos de demolición en la ciudad de Soacha</t>
  </si>
  <si>
    <t>Dotar con herramientas y un equipo interdisciplinario el Centro Transitorio de la Ciudad de Soacha para su correcto funcionamiento.</t>
  </si>
  <si>
    <t>Incentivar la implementación del modelo de barras del estudio juridico procesal en la ciudad de Soacha</t>
  </si>
  <si>
    <t>Conservar los parametros del modelo de barras del estudio juridico procesal, para su funcionamiento en la ciudad de Soacha, durante el cuatrenio.</t>
  </si>
  <si>
    <t>Crear una estrategia que permita fortalecer las inspecciones de policía y las comisarías de familia de la ciudad de Soacha.</t>
  </si>
  <si>
    <t>SGOB- 006</t>
  </si>
  <si>
    <t>Garantizar el 100% de la atención a las personas privadas de la libertad en condición de sindicados en la ciudad de Soacha.</t>
  </si>
  <si>
    <t>Brindar atención integral a las personas privadas de la libertad en condición de sindicados</t>
  </si>
  <si>
    <t>Realizar la atención a las personas privadas de la libertad en condición de sindicados en la ciudad de Soacha</t>
  </si>
  <si>
    <t>1206007</t>
  </si>
  <si>
    <t>CONTRATAR EL PERSONAL PARA LA ATENCION A LAS PPL ENCONDICION DE SINDICADOS</t>
  </si>
  <si>
    <t>CONTRATAR UN OPERADOR LOGISTICO QUE APOYE LA ATENCIÓN A LAS PERSONAS PRIVADAS DE LA LIBERTAD Y SUMINISTRE LOS ELEMENTOS NECESARIOS PARA SU ATENCION</t>
  </si>
  <si>
    <t xml:space="preserve">DISEÑAR UNA RUTA DE ATENCIÓN QUE BRINDE LAS GARANTIAS NECESARIAS PARA LA ATENCIÓN. </t>
  </si>
  <si>
    <t xml:space="preserve">Contratar personal profesional - tecnico y auxiliar </t>
  </si>
  <si>
    <t>total</t>
  </si>
  <si>
    <t>personal</t>
  </si>
  <si>
    <t xml:space="preserve">ACTIVIDAD CONTRATISTA </t>
  </si>
  <si>
    <t xml:space="preserve"> PRESTACIÓN DE SERVICIOS PROFESIONALES PARA EL SEGUIMIENTO Y GESTION DE PROYECTOS Y PROCESOS QUE SE ADELANTEN PARA EL FORTALECIMIENTO DE LA RED DE APOYO A LA JUSTICIA Y  LOS PPL EN EL MUNICIPIO DE SOACHA. </t>
  </si>
  <si>
    <t>PRESTACIÓN DE SERVICIOS PROFESIONALES COMO TRABAJADOR SOCIAL PARA EL DESARROLLO Y EJECUCIÓN DE LAS ACTIVIDADES REQUERIDAS EN LA IMPLEMENTACION DE LA RUTA INTEGRAL DE ACCESO A LA JUSTICIA CON ENFOQUE DE GÉNERO Y DEL PROGRAMA DE JUSTICIA RESTAURATIVA PARA FORTALECIMIENTO A LA RED DE APOYO A LA JUSTICIA DEL MUNICIPIO DE SOACHA</t>
  </si>
  <si>
    <t>CONTRATISTA</t>
  </si>
  <si>
    <t>PRESTACIÓN DE SERVICIOS  A LA GESTIÓN COMO TÉCNOLOGO PARA APOYAR LA IMPLEMENTACIÓN DEL PROGRAMA DE JUSTICIA JUVENIL RESTAURATIVA Y LA REALIZACIÓN DE ACTIVIDADES  DE CARÁCTER ADMINISTRATIVO Y OPERATIVO QUE SEAN REQUERIDOS EN LAS INSPECCIONES DE POLICIA, CORREGIMIENTOS, COMISARIAS DE FAMILIA Y LA DIRECCIÓN DE APOYO A LA JUSTICIA DE LA SECRETARÍA DE GOBIERNO.</t>
  </si>
  <si>
    <t>PRESTACIÓN DE SERVICIOS PROFESIONALES COMO ABOGADO PARA BRINDAR APOYO JURIDICO EN LA IMPLEMENTACIÓN DEL PROGRAMA DE JUSTICIA JUVENIL RESTAURATIVA Y COORDINACION DE CASAS DE JUSTICIA Y LA DIRECCION DE APOYO A L AJUSTICIA  DEL MUNICIPIO DE SOACHA.</t>
  </si>
  <si>
    <t>PRESTACIÓN DE SERVICIOS PROFESIONALES COMO ABOGADO PARA APOYAR LA IMPLEMENTACIÓN DEL MODELO DE BARRAS JURIDICO Y DAR TRAMITE A LOS ASUNTOS LEGALES, EFECTUANDO GESTIONES QUE SE DESARROLLEN AL INTERIOR DE LAS INSPECCIONES, CORREGIMIENTOS Y COMISARIAS DE FAMILIA  Y EN GENERAL BRINDE APOYO EN LOS ASUNTOS PROPIOS DE SU COMPETENCIA PARA FORTALECER LA RED DE APOYO A LA JUSTICIA DEL MUNICIPIO DE SOACHA.</t>
  </si>
  <si>
    <t>NUEVO TECNOLOGO</t>
  </si>
  <si>
    <t>PRESTACIÓN DE SERVICIOS COMO APOYO ADMINISTRATIVO Y OPERATIVO EN LA IMPLEMENTACIÓN DEL PROGRAMA DE JUSTICIA JUVENIL RESTAURATIVA Y EL DESARROLLO DE LAS ACTIVIDADES QUE SE REQUIEREN EN LAS INSPECCIONES, CORREGIMIENTOS, COMISARÍAS DE FAMILIA Y CASAS DE JUSTICIA, PARA EL FORTALECIMIENTO DE LA RED DE APOYO A LA JUSTICIA DEL MUNICIPIO DE SOACHA.</t>
  </si>
  <si>
    <t>PRESTACIÓN DE SERVICIOS DE APOYO A LA GESTIÓN COMO TÉCNOLOGO PARA LA IMPLEMENTACIÓN DEL PROGRAMA DE JUSTICIA JUVENIL RESTAURATIVA, LA REALIZACIÓN DE ACTIVIDADES Y ASUNTOS DE CARÁCTER ADMINISTRATIVO Y OPERATIVO QUE SE REQUIEREN EN LAS INSPECCIONES Y CORREGIMIENTOS MUNICIPALES DE POLICIA, COMISARIAS DE FAMILIA ADSCRITAS A LA SECRETARIA DE GOBIERNO</t>
  </si>
  <si>
    <t xml:space="preserve">PRESTACIÓN DE SERVICIOS DE APOYO A LA GESTIÓN COMO TÉCNOLOGO PARA LA REALIZACIÓN DE ACTIVIDADES Y ASUNTOS DE CARÁCTER ADMINISTRATIVO Y OPERATIVO QUE SE REALICEN EN LA MESA TÉCNICA INTERINSTITUCIONAL DE JUSTICIA, PREVENCIÓN Y CONVIVIENCIA Y APOYO A LAS ACTIVIDADES DE LA DIRECCIÓN DE APOYO A LA JUSTICIA </t>
  </si>
  <si>
    <t>PRESTACIÓN DE SERVICIOS DE APOYO A LA GESTION COMO TÉCNICO PARA  EL DESARROLLO Y EJECUCIÓN DE LAS ACTIVIDADES REQUERIDAS EN COMITÉ DE DEMOLICIÓN Y APOYO A LAS ACTIVIDADES DE LA DIRECCIÓN DE APOYO A LA JUSTICIA</t>
  </si>
  <si>
    <t>PRESTACIÓN DE SERVICIOS COMO AUXILIAR ADMINISTRATIVO Y OPERATIVO EN EL DESARROLLO DE LAS ACTIVIDADES REQUERIDAS EN EL COMITÉ DE DEMOLICIÓN Y APOYO A LAS ACTIVIDADES DE LA DIRECCIÓN DE APOYO A LA JUSTICIA</t>
  </si>
  <si>
    <t>PRESTACIÓN DE SERVICIOS COMO TECNOLOGO ADMINISTRATIVO EN EL DESARROLLO DE LAS ACTIVIDADES QUE SE REALICEN DESDE EL CENTRO TRANSITORIO PARA LA ATENCIÓN DE ADOLESCENTES EN EL MUNICIPIO DE SOACHA</t>
  </si>
  <si>
    <t>PRESTACIÓN DE SERVICIOS COMO TÉCNICO ADMINISTRATIVO EN EL DESARROLLO DE LAS ACTIVIDADES QUE SE REALICEN DESDE EL CENTRO TRANSITORIO PARA LA ATENCIÓN DE ADOLESCENTES EN EL MUNICIPIO DE SOACHA</t>
  </si>
  <si>
    <t>PRESTACIÓN DE SERVICIOS PROFESIONALES COMO TRABAJADOR SOCIAL PARA BRINDAR APOYO EN EL CENTRO TRANSITORIO PARA LA ATENCIÓN DE ADOLESCENTES EN EL MUNICIPIO DE SOACHA</t>
  </si>
  <si>
    <t>PRESTACIÓN DE SERVICIOS PROFESIONALES COMO ABOGADO PARA BRINDAR APOYO JURIDICO EN LA COORDINACION DE LA PRESTACIÓN DEL SERVICIO DEL CENTRO  TRANSITORIO PARA LA ATENCIÓN DE ADOLESCENTES, CASAS DE JUSTICIA Y LA DIRECCION DE APOYO A LA JUSTICIA DEL MUNICIPIO DE SOACHA.</t>
  </si>
  <si>
    <t>PROFESIONAL ESPECIALIZADO 1  
PROFESIONAL INGENIERO 4
 PROFESIONAL ABOGADO 14 
PROFESIONAL ABOGADO ESPECIALIZADO 3 
PROFESIONAL COMUNICADOR SOCIAL 1 
PROFESIONAL TRABAJO SOCIAL 1 
PROFESIONAL ADMIN 3                                     
 PROFESIONALES 5                                                  
 TÉCNICOS 16                                                
TECNÓLOGOS 1                                                   
AUXILIARES 13</t>
  </si>
  <si>
    <t>PROFESIONAL 1</t>
  </si>
  <si>
    <t>PROFESIONAL TRABAJO SOCIAL 1</t>
  </si>
  <si>
    <t>PROFESIONAL ABOGADO    1</t>
  </si>
  <si>
    <t>TECNÓLOGO 1</t>
  </si>
  <si>
    <t>IMPLEMENTAR UNA ESTRATEGIA PARA EL FORTALECIMIENTO DE LAS INSPECCIONES DE POLICIA Y COMISARIAS DE FAMILIA DE LA CIUDAD DE SOACHA</t>
  </si>
  <si>
    <t xml:space="preserve">VALOR  </t>
  </si>
  <si>
    <t xml:space="preserve">NOTA </t>
  </si>
  <si>
    <t>PROFESIONAL ABOGADO 1                                           TECNÓLOGOS  2                                                                                                    AUXILIAR ADMINISTRATIVO 1</t>
  </si>
  <si>
    <t>TÉCNICO 1                                                                                                                       AUXILIAR  ADMINISTRATIVO 1</t>
  </si>
  <si>
    <t>TRABAJADOR SOCIAL 1                                                         ABOGADO    1                                                                         TÉCNICOS     2                                                                     TECNÓLOGO  1</t>
  </si>
  <si>
    <r>
      <rPr>
        <sz val="11"/>
        <color rgb="FFFF0000"/>
        <rFont val="Calibri"/>
        <family val="2"/>
        <scheme val="minor"/>
      </rPr>
      <t xml:space="preserve">TRABAJADOR SOCIAL 1                                                         ABOGADO    1                                                                         TÉCNICOS     1 </t>
    </r>
    <r>
      <rPr>
        <sz val="11"/>
        <color theme="1"/>
        <rFont val="Calibri"/>
        <family val="2"/>
        <scheme val="minor"/>
      </rPr>
      <t xml:space="preserve"> PARA $11200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</si>
</sst>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justify" vertical="justify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justify" vertical="justify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" fillId="0" borderId="1" xfId="0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2" borderId="1" xfId="0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wrapText="1"/>
      <protection locked="0"/>
    </xf>
    <xf numFmtId="0" fontId="0" fillId="0" borderId="2" xfId="0" applyBorder="1" applyProtection="1"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2" borderId="1" xfId="0" applyFill="1" applyBorder="1" applyAlignment="1" applyProtection="1">
      <alignment vertical="center" wrapText="1"/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 wrapText="1"/>
    </xf>
    <xf numFmtId="9" fontId="0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0" xfId="0" applyNumberFormat="1" applyProtection="1">
      <protection locked="0"/>
    </xf>
    <xf numFmtId="0" fontId="2" fillId="3" borderId="1" xfId="0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1" applyFont="1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vertical="center"/>
      <protection locked="0"/>
    </xf>
    <xf numFmtId="0" fontId="0" fillId="0" borderId="1" xfId="0" applyBorder="1" applyAlignment="1">
      <alignment wrapText="1"/>
    </xf>
    <xf numFmtId="0" fontId="0" fillId="3" borderId="1" xfId="0" applyFill="1" applyBorder="1"/>
    <xf numFmtId="164" fontId="0" fillId="3" borderId="1" xfId="0" applyNumberFormat="1" applyFill="1" applyBorder="1" applyProtection="1">
      <protection locked="0"/>
    </xf>
    <xf numFmtId="0" fontId="3" fillId="3" borderId="1" xfId="0" applyFont="1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2" fillId="0" borderId="0" xfId="0" applyFont="1" applyProtection="1">
      <protection locked="0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164" fontId="0" fillId="3" borderId="1" xfId="0" applyNumberFormat="1" applyFill="1" applyBorder="1" applyAlignment="1" applyProtection="1">
      <alignment horizontal="center" vertical="center"/>
      <protection locked="0"/>
    </xf>
    <xf numFmtId="164" fontId="0" fillId="6" borderId="0" xfId="0" applyNumberFormat="1" applyFill="1" applyProtection="1">
      <protection locked="0"/>
    </xf>
    <xf numFmtId="164" fontId="0" fillId="5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164" fontId="0" fillId="5" borderId="1" xfId="0" applyNumberFormat="1" applyFill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164" fontId="0" fillId="0" borderId="2" xfId="0" applyNumberForma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 vertical="center" wrapText="1"/>
      <protection locked="0"/>
    </xf>
    <xf numFmtId="164" fontId="0" fillId="0" borderId="2" xfId="0" applyNumberFormat="1" applyBorder="1" applyAlignment="1" applyProtection="1">
      <alignment horizontal="center" wrapText="1"/>
      <protection locked="0"/>
    </xf>
    <xf numFmtId="164" fontId="0" fillId="0" borderId="4" xfId="0" applyNumberFormat="1" applyBorder="1" applyAlignment="1" applyProtection="1">
      <alignment horizontal="center" wrapText="1"/>
      <protection locked="0"/>
    </xf>
    <xf numFmtId="164" fontId="0" fillId="0" borderId="3" xfId="0" applyNumberFormat="1" applyBorder="1" applyAlignment="1" applyProtection="1">
      <alignment horizontal="center" wrapText="1"/>
      <protection locked="0"/>
    </xf>
    <xf numFmtId="164" fontId="0" fillId="0" borderId="4" xfId="0" applyNumberFormat="1" applyBorder="1" applyAlignment="1" applyProtection="1">
      <alignment horizontal="center" vertical="center" wrapText="1"/>
      <protection locked="0"/>
    </xf>
    <xf numFmtId="164" fontId="0" fillId="3" borderId="1" xfId="0" applyNumberFormat="1" applyFill="1" applyBorder="1" applyAlignment="1" applyProtection="1">
      <alignment horizontal="center" vertical="center"/>
      <protection locked="0"/>
    </xf>
    <xf numFmtId="164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2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/>
      <protection locked="0"/>
    </xf>
    <xf numFmtId="9" fontId="0" fillId="2" borderId="1" xfId="1" applyFont="1" applyFill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9" fontId="0" fillId="2" borderId="2" xfId="1" applyFont="1" applyFill="1" applyBorder="1" applyAlignment="1">
      <alignment horizontal="center" vertical="center"/>
    </xf>
    <xf numFmtId="9" fontId="0" fillId="2" borderId="3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9" fontId="0" fillId="3" borderId="2" xfId="1" applyFont="1" applyFill="1" applyBorder="1" applyAlignment="1">
      <alignment horizontal="center" vertical="center"/>
    </xf>
    <xf numFmtId="9" fontId="0" fillId="3" borderId="4" xfId="1" applyFont="1" applyFill="1" applyBorder="1" applyAlignment="1">
      <alignment horizontal="center" vertical="center"/>
    </xf>
    <xf numFmtId="9" fontId="0" fillId="3" borderId="3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0" fillId="5" borderId="2" xfId="0" applyNumberFormat="1" applyFill="1" applyBorder="1" applyAlignment="1" applyProtection="1">
      <alignment horizontal="center" vertical="center"/>
      <protection locked="0"/>
    </xf>
    <xf numFmtId="164" fontId="0" fillId="5" borderId="4" xfId="0" applyNumberFormat="1" applyFill="1" applyBorder="1" applyAlignment="1" applyProtection="1">
      <alignment horizontal="center" vertical="center"/>
      <protection locked="0"/>
    </xf>
    <xf numFmtId="164" fontId="0" fillId="5" borderId="3" xfId="0" applyNumberFormat="1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32"/>
  <sheetViews>
    <sheetView tabSelected="1" topLeftCell="I16" zoomScale="86" zoomScaleNormal="86" workbookViewId="0">
      <selection activeCell="G8" sqref="G8"/>
    </sheetView>
  </sheetViews>
  <sheetFormatPr baseColWidth="10" defaultRowHeight="15" x14ac:dyDescent="0.25"/>
  <cols>
    <col min="1" max="1" width="4.85546875" style="1" customWidth="1"/>
    <col min="2" max="2" width="13.42578125" customWidth="1"/>
    <col min="3" max="3" width="47.7109375" customWidth="1"/>
    <col min="4" max="4" width="33.140625" customWidth="1"/>
    <col min="5" max="5" width="43.7109375" customWidth="1"/>
    <col min="6" max="6" width="43.42578125" customWidth="1"/>
    <col min="7" max="7" width="73.28515625" style="16" customWidth="1"/>
    <col min="8" max="8" width="16.85546875" style="18" customWidth="1"/>
    <col min="13" max="13" width="25.85546875" customWidth="1"/>
    <col min="14" max="15" width="16.28515625" customWidth="1"/>
    <col min="16" max="16" width="52.7109375" customWidth="1"/>
    <col min="17" max="18" width="20" customWidth="1"/>
    <col min="19" max="19" width="22.28515625" customWidth="1"/>
  </cols>
  <sheetData>
    <row r="1" spans="1:38" s="2" customFormat="1" ht="30" customHeight="1" x14ac:dyDescent="0.25">
      <c r="A1" s="19" t="s">
        <v>0</v>
      </c>
      <c r="B1" s="3" t="s">
        <v>4</v>
      </c>
      <c r="C1" s="3" t="s">
        <v>1</v>
      </c>
      <c r="D1" s="3" t="s">
        <v>33</v>
      </c>
      <c r="E1" s="3" t="s">
        <v>34</v>
      </c>
      <c r="F1" s="3" t="s">
        <v>35</v>
      </c>
      <c r="G1" s="14" t="s">
        <v>2</v>
      </c>
      <c r="H1" s="14" t="s">
        <v>19</v>
      </c>
      <c r="I1" s="81" t="s">
        <v>3</v>
      </c>
      <c r="J1" s="81"/>
      <c r="K1" s="81"/>
      <c r="L1" s="81"/>
      <c r="M1" s="21" t="s">
        <v>21</v>
      </c>
      <c r="P1" s="14" t="s">
        <v>71</v>
      </c>
      <c r="Q1" s="19" t="s">
        <v>91</v>
      </c>
      <c r="R1" s="19" t="s">
        <v>92</v>
      </c>
      <c r="S1" s="77" t="s">
        <v>68</v>
      </c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</row>
    <row r="2" spans="1:38" s="2" customFormat="1" x14ac:dyDescent="0.25">
      <c r="A2" s="20"/>
      <c r="B2" s="4"/>
      <c r="C2" s="4"/>
      <c r="D2" s="4"/>
      <c r="E2" s="4"/>
      <c r="F2" s="4"/>
      <c r="G2" s="26"/>
      <c r="H2" s="17"/>
      <c r="I2" s="3">
        <v>2024</v>
      </c>
      <c r="J2" s="3">
        <v>2025</v>
      </c>
      <c r="K2" s="3">
        <v>2026</v>
      </c>
      <c r="L2" s="3">
        <v>2027</v>
      </c>
      <c r="M2" s="38"/>
      <c r="N2" s="4"/>
      <c r="S2" s="50"/>
    </row>
    <row r="3" spans="1:38" s="2" customFormat="1" ht="30" customHeight="1" x14ac:dyDescent="0.25">
      <c r="A3" s="95">
        <v>1</v>
      </c>
      <c r="B3" s="83" t="s">
        <v>57</v>
      </c>
      <c r="C3" s="83" t="s">
        <v>58</v>
      </c>
      <c r="D3" s="83" t="s">
        <v>61</v>
      </c>
      <c r="E3" s="83" t="s">
        <v>60</v>
      </c>
      <c r="F3" s="83" t="s">
        <v>59</v>
      </c>
      <c r="G3" s="27" t="s">
        <v>62</v>
      </c>
      <c r="H3" s="28">
        <v>0.2</v>
      </c>
      <c r="I3" s="82">
        <v>0.15</v>
      </c>
      <c r="J3" s="82">
        <v>0.25</v>
      </c>
      <c r="K3" s="82">
        <v>0.3</v>
      </c>
      <c r="L3" s="82">
        <v>0.3</v>
      </c>
      <c r="M3" s="39" t="s">
        <v>67</v>
      </c>
      <c r="N3" s="40">
        <v>19000000</v>
      </c>
      <c r="O3" s="126" t="s">
        <v>57</v>
      </c>
      <c r="P3" s="61" t="s">
        <v>86</v>
      </c>
      <c r="Q3" s="61"/>
      <c r="R3" s="61"/>
      <c r="S3" s="129" t="s">
        <v>69</v>
      </c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1"/>
    </row>
    <row r="4" spans="1:38" s="2" customFormat="1" ht="56.25" customHeight="1" x14ac:dyDescent="0.25">
      <c r="A4" s="96"/>
      <c r="B4" s="84"/>
      <c r="C4" s="84"/>
      <c r="D4" s="84"/>
      <c r="E4" s="84"/>
      <c r="F4" s="84"/>
      <c r="G4" s="22" t="s">
        <v>63</v>
      </c>
      <c r="H4" s="28">
        <v>0.4</v>
      </c>
      <c r="I4" s="82"/>
      <c r="J4" s="82"/>
      <c r="K4" s="82"/>
      <c r="L4" s="82"/>
      <c r="M4" s="17"/>
      <c r="N4" s="40"/>
      <c r="O4" s="127"/>
      <c r="P4" s="66"/>
      <c r="Q4" s="66"/>
      <c r="R4" s="66"/>
      <c r="S4" s="132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4"/>
    </row>
    <row r="5" spans="1:38" s="2" customFormat="1" ht="38.25" customHeight="1" x14ac:dyDescent="0.25">
      <c r="A5" s="97"/>
      <c r="B5" s="85"/>
      <c r="C5" s="85"/>
      <c r="D5" s="85"/>
      <c r="E5" s="85"/>
      <c r="F5" s="85"/>
      <c r="G5" s="27" t="s">
        <v>64</v>
      </c>
      <c r="H5" s="28">
        <v>0.4</v>
      </c>
      <c r="I5" s="82"/>
      <c r="J5" s="82"/>
      <c r="K5" s="82"/>
      <c r="L5" s="82"/>
      <c r="M5" s="17"/>
      <c r="N5" s="40"/>
      <c r="O5" s="128"/>
      <c r="P5" s="62"/>
      <c r="Q5" s="62"/>
      <c r="R5" s="62"/>
      <c r="S5" s="135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7"/>
    </row>
    <row r="6" spans="1:38" s="2" customFormat="1" x14ac:dyDescent="0.25">
      <c r="A6" s="24"/>
      <c r="B6" s="25"/>
      <c r="C6" s="25"/>
      <c r="D6" s="25"/>
      <c r="E6" s="25"/>
      <c r="F6" s="25"/>
      <c r="G6" s="15"/>
      <c r="H6" s="17"/>
      <c r="I6" s="3"/>
      <c r="J6" s="3"/>
      <c r="K6" s="3"/>
      <c r="L6" s="3"/>
      <c r="M6" s="17"/>
      <c r="N6" s="40"/>
      <c r="O6" s="53"/>
      <c r="P6" s="53"/>
      <c r="Q6" s="53"/>
      <c r="R6" s="53"/>
    </row>
    <row r="7" spans="1:38" ht="43.5" customHeight="1" x14ac:dyDescent="0.25">
      <c r="A7" s="86">
        <v>2</v>
      </c>
      <c r="B7" s="89" t="s">
        <v>5</v>
      </c>
      <c r="C7" s="92" t="s">
        <v>13</v>
      </c>
      <c r="D7" s="92">
        <v>1202019</v>
      </c>
      <c r="E7" s="92" t="s">
        <v>45</v>
      </c>
      <c r="F7" s="92" t="s">
        <v>50</v>
      </c>
      <c r="G7" s="29" t="s">
        <v>36</v>
      </c>
      <c r="H7" s="30">
        <v>0.3</v>
      </c>
      <c r="I7" s="79">
        <v>0.15</v>
      </c>
      <c r="J7" s="79">
        <v>0.25</v>
      </c>
      <c r="K7" s="79">
        <v>0.3</v>
      </c>
      <c r="L7" s="79">
        <v>0.3</v>
      </c>
      <c r="M7" s="7"/>
      <c r="N7" s="5"/>
      <c r="O7" s="89" t="s">
        <v>5</v>
      </c>
      <c r="P7" s="69" t="s">
        <v>87</v>
      </c>
      <c r="Q7" s="69"/>
      <c r="R7" s="69"/>
      <c r="S7" s="116" t="s">
        <v>70</v>
      </c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8"/>
    </row>
    <row r="8" spans="1:38" ht="43.5" customHeight="1" x14ac:dyDescent="0.25">
      <c r="A8" s="87"/>
      <c r="B8" s="90"/>
      <c r="C8" s="93"/>
      <c r="D8" s="93"/>
      <c r="E8" s="93"/>
      <c r="F8" s="93"/>
      <c r="G8" s="29" t="s">
        <v>20</v>
      </c>
      <c r="H8" s="30">
        <v>0.4</v>
      </c>
      <c r="I8" s="79"/>
      <c r="J8" s="79"/>
      <c r="K8" s="79"/>
      <c r="L8" s="79"/>
      <c r="M8" s="39" t="s">
        <v>67</v>
      </c>
      <c r="N8" s="40">
        <v>19000000</v>
      </c>
      <c r="O8" s="90"/>
      <c r="P8" s="70"/>
      <c r="Q8" s="70"/>
      <c r="R8" s="70"/>
      <c r="S8" s="119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1"/>
    </row>
    <row r="9" spans="1:38" ht="43.5" customHeight="1" x14ac:dyDescent="0.25">
      <c r="A9" s="87"/>
      <c r="B9" s="91"/>
      <c r="C9" s="94"/>
      <c r="D9" s="94"/>
      <c r="E9" s="93"/>
      <c r="F9" s="93"/>
      <c r="G9" s="29" t="s">
        <v>37</v>
      </c>
      <c r="H9" s="30">
        <v>0.3</v>
      </c>
      <c r="I9" s="79"/>
      <c r="J9" s="79"/>
      <c r="K9" s="79"/>
      <c r="L9" s="79"/>
      <c r="M9" s="5"/>
      <c r="N9" s="40"/>
      <c r="O9" s="91"/>
      <c r="P9" s="71"/>
      <c r="Q9" s="71"/>
      <c r="R9" s="71"/>
      <c r="S9" s="119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1"/>
    </row>
    <row r="10" spans="1:38" ht="78" customHeight="1" x14ac:dyDescent="0.25">
      <c r="A10" s="86">
        <v>3</v>
      </c>
      <c r="B10" s="89" t="s">
        <v>12</v>
      </c>
      <c r="C10" s="92" t="s">
        <v>18</v>
      </c>
      <c r="D10" s="92">
        <v>1202019</v>
      </c>
      <c r="E10" s="93"/>
      <c r="F10" s="93"/>
      <c r="G10" s="49" t="s">
        <v>38</v>
      </c>
      <c r="H10" s="48">
        <v>0.6</v>
      </c>
      <c r="I10" s="112">
        <v>0.2</v>
      </c>
      <c r="J10" s="112">
        <v>0.3</v>
      </c>
      <c r="K10" s="112">
        <v>0.3</v>
      </c>
      <c r="L10" s="112">
        <v>0.2</v>
      </c>
      <c r="M10" s="51"/>
      <c r="N10" s="52"/>
      <c r="O10" s="89" t="s">
        <v>12</v>
      </c>
      <c r="P10" s="69" t="s">
        <v>93</v>
      </c>
      <c r="Q10" s="69"/>
      <c r="R10" s="69"/>
      <c r="S10" s="58" t="s">
        <v>72</v>
      </c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 t="s">
        <v>76</v>
      </c>
      <c r="AE10" s="58"/>
      <c r="AF10" s="58"/>
      <c r="AG10" s="58"/>
      <c r="AH10" s="58"/>
      <c r="AI10" s="58"/>
      <c r="AJ10" s="58"/>
      <c r="AK10" s="58"/>
      <c r="AL10" s="58"/>
    </row>
    <row r="11" spans="1:38" ht="74.25" customHeight="1" x14ac:dyDescent="0.25">
      <c r="A11" s="88"/>
      <c r="B11" s="91"/>
      <c r="C11" s="94"/>
      <c r="D11" s="94"/>
      <c r="E11" s="94"/>
      <c r="F11" s="94"/>
      <c r="G11" s="29" t="s">
        <v>39</v>
      </c>
      <c r="H11" s="30">
        <v>0.4</v>
      </c>
      <c r="I11" s="113"/>
      <c r="J11" s="113"/>
      <c r="K11" s="113"/>
      <c r="L11" s="113"/>
      <c r="M11" s="5" t="s">
        <v>67</v>
      </c>
      <c r="N11" s="40">
        <v>38000000</v>
      </c>
      <c r="O11" s="91"/>
      <c r="P11" s="71"/>
      <c r="Q11" s="71"/>
      <c r="R11" s="71"/>
      <c r="S11" s="58" t="s">
        <v>73</v>
      </c>
      <c r="T11" s="58"/>
      <c r="U11" s="58"/>
      <c r="V11" s="58"/>
      <c r="W11" s="58"/>
      <c r="X11" s="58"/>
      <c r="Y11" s="58"/>
      <c r="Z11" s="58"/>
      <c r="AA11" s="58"/>
      <c r="AB11" s="98" t="s">
        <v>75</v>
      </c>
      <c r="AC11" s="99"/>
      <c r="AD11" s="122" t="s">
        <v>77</v>
      </c>
      <c r="AE11" s="123"/>
      <c r="AF11" s="123"/>
      <c r="AG11" s="123"/>
      <c r="AH11" s="123"/>
      <c r="AI11" s="123"/>
      <c r="AJ11" s="123"/>
      <c r="AK11" s="123"/>
      <c r="AL11" s="124"/>
    </row>
    <row r="12" spans="1:38" ht="45" customHeight="1" x14ac:dyDescent="0.25">
      <c r="A12" s="86">
        <v>7</v>
      </c>
      <c r="B12" s="89" t="s">
        <v>8</v>
      </c>
      <c r="C12" s="92" t="s">
        <v>14</v>
      </c>
      <c r="D12" s="92" t="s">
        <v>43</v>
      </c>
      <c r="E12" s="92" t="s">
        <v>54</v>
      </c>
      <c r="F12" s="92" t="s">
        <v>55</v>
      </c>
      <c r="G12" s="80" t="s">
        <v>41</v>
      </c>
      <c r="H12" s="79">
        <v>0.6</v>
      </c>
      <c r="I12" s="111">
        <v>0.15</v>
      </c>
      <c r="J12" s="111">
        <v>0.35</v>
      </c>
      <c r="K12" s="111">
        <v>0.35</v>
      </c>
      <c r="L12" s="111">
        <v>0.15</v>
      </c>
      <c r="M12" s="5" t="s">
        <v>67</v>
      </c>
      <c r="N12" s="42">
        <f>2400000*5</f>
        <v>12000000</v>
      </c>
      <c r="O12" s="68" t="s">
        <v>8</v>
      </c>
      <c r="P12" s="60" t="s">
        <v>88</v>
      </c>
      <c r="Q12" s="61"/>
      <c r="R12" s="61"/>
      <c r="S12" s="58" t="s">
        <v>74</v>
      </c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</row>
    <row r="13" spans="1:38" x14ac:dyDescent="0.25">
      <c r="A13" s="87"/>
      <c r="B13" s="90"/>
      <c r="C13" s="93"/>
      <c r="D13" s="93"/>
      <c r="E13" s="93"/>
      <c r="F13" s="93"/>
      <c r="G13" s="80"/>
      <c r="H13" s="79"/>
      <c r="I13" s="112"/>
      <c r="J13" s="112"/>
      <c r="K13" s="112"/>
      <c r="L13" s="112"/>
      <c r="M13" s="7"/>
      <c r="N13" s="42"/>
      <c r="O13" s="68"/>
      <c r="P13" s="60"/>
      <c r="Q13" s="66"/>
      <c r="R13" s="66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</row>
    <row r="14" spans="1:38" x14ac:dyDescent="0.25">
      <c r="A14" s="87"/>
      <c r="B14" s="90"/>
      <c r="C14" s="93"/>
      <c r="D14" s="93"/>
      <c r="E14" s="93"/>
      <c r="F14" s="93"/>
      <c r="G14" s="80"/>
      <c r="H14" s="79"/>
      <c r="I14" s="112"/>
      <c r="J14" s="112"/>
      <c r="K14" s="112"/>
      <c r="L14" s="112"/>
      <c r="M14" s="7"/>
      <c r="N14" s="42"/>
      <c r="O14" s="68"/>
      <c r="P14" s="60"/>
      <c r="Q14" s="66"/>
      <c r="R14" s="66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</row>
    <row r="15" spans="1:38" ht="36.75" customHeight="1" x14ac:dyDescent="0.25">
      <c r="A15" s="87"/>
      <c r="B15" s="90"/>
      <c r="C15" s="93"/>
      <c r="D15" s="93"/>
      <c r="E15" s="93"/>
      <c r="F15" s="93"/>
      <c r="G15" s="29" t="s">
        <v>42</v>
      </c>
      <c r="H15" s="30">
        <v>0.2</v>
      </c>
      <c r="I15" s="112"/>
      <c r="J15" s="112"/>
      <c r="K15" s="112"/>
      <c r="L15" s="112"/>
      <c r="M15" s="7"/>
      <c r="N15" s="42"/>
      <c r="O15" s="68"/>
      <c r="P15" s="60"/>
      <c r="Q15" s="66"/>
      <c r="R15" s="66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</row>
    <row r="16" spans="1:38" ht="51" customHeight="1" x14ac:dyDescent="0.25">
      <c r="A16" s="88"/>
      <c r="B16" s="91"/>
      <c r="C16" s="94"/>
      <c r="D16" s="94"/>
      <c r="E16" s="94"/>
      <c r="F16" s="94"/>
      <c r="G16" s="29" t="s">
        <v>31</v>
      </c>
      <c r="H16" s="30">
        <v>0.2</v>
      </c>
      <c r="I16" s="113"/>
      <c r="J16" s="113"/>
      <c r="K16" s="113"/>
      <c r="L16" s="113"/>
      <c r="M16" s="7"/>
      <c r="N16" s="42"/>
      <c r="O16" s="68"/>
      <c r="P16" s="60"/>
      <c r="Q16" s="62"/>
      <c r="R16" s="62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</row>
    <row r="17" spans="1:38" ht="45" customHeight="1" x14ac:dyDescent="0.25">
      <c r="A17" s="78">
        <v>8</v>
      </c>
      <c r="B17" s="104" t="s">
        <v>9</v>
      </c>
      <c r="C17" s="80" t="s">
        <v>17</v>
      </c>
      <c r="D17" s="92" t="s">
        <v>44</v>
      </c>
      <c r="E17" s="92" t="s">
        <v>49</v>
      </c>
      <c r="F17" s="92" t="s">
        <v>56</v>
      </c>
      <c r="G17" s="29" t="s">
        <v>25</v>
      </c>
      <c r="H17" s="30">
        <v>0.5</v>
      </c>
      <c r="I17" s="79">
        <v>0.25</v>
      </c>
      <c r="J17" s="79">
        <v>0.25</v>
      </c>
      <c r="K17" s="79">
        <v>0.25</v>
      </c>
      <c r="L17" s="79">
        <v>0.25</v>
      </c>
      <c r="M17" s="7"/>
      <c r="N17" s="42"/>
      <c r="O17" s="67" t="s">
        <v>9</v>
      </c>
      <c r="P17" s="60" t="s">
        <v>85</v>
      </c>
      <c r="Q17" s="75"/>
      <c r="R17" s="72"/>
      <c r="S17" s="76" t="s">
        <v>90</v>
      </c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</row>
    <row r="18" spans="1:38" ht="54.75" customHeight="1" x14ac:dyDescent="0.25">
      <c r="A18" s="78"/>
      <c r="B18" s="104"/>
      <c r="C18" s="80"/>
      <c r="D18" s="93"/>
      <c r="E18" s="93"/>
      <c r="F18" s="93"/>
      <c r="G18" s="47" t="s">
        <v>26</v>
      </c>
      <c r="H18" s="37">
        <v>0.2</v>
      </c>
      <c r="I18" s="79"/>
      <c r="J18" s="79"/>
      <c r="K18" s="79"/>
      <c r="L18" s="79"/>
      <c r="M18" s="44" t="s">
        <v>65</v>
      </c>
      <c r="N18" s="42">
        <v>853820000</v>
      </c>
      <c r="O18" s="67"/>
      <c r="P18" s="60"/>
      <c r="Q18" s="75"/>
      <c r="R18" s="73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</row>
    <row r="19" spans="1:38" ht="35.25" customHeight="1" x14ac:dyDescent="0.25">
      <c r="A19" s="78"/>
      <c r="B19" s="104"/>
      <c r="C19" s="80"/>
      <c r="D19" s="93"/>
      <c r="E19" s="93"/>
      <c r="F19" s="93"/>
      <c r="G19" s="47" t="s">
        <v>27</v>
      </c>
      <c r="H19" s="37">
        <v>0.25</v>
      </c>
      <c r="I19" s="79"/>
      <c r="J19" s="79"/>
      <c r="K19" s="79"/>
      <c r="L19" s="79"/>
      <c r="M19" s="7"/>
      <c r="N19" s="42"/>
      <c r="O19" s="67"/>
      <c r="P19" s="60"/>
      <c r="Q19" s="75"/>
      <c r="R19" s="73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</row>
    <row r="20" spans="1:38" ht="60" customHeight="1" x14ac:dyDescent="0.25">
      <c r="A20" s="78"/>
      <c r="B20" s="104"/>
      <c r="C20" s="80"/>
      <c r="D20" s="94"/>
      <c r="E20" s="94"/>
      <c r="F20" s="94"/>
      <c r="G20" s="29" t="s">
        <v>32</v>
      </c>
      <c r="H20" s="30">
        <v>0.5</v>
      </c>
      <c r="I20" s="79"/>
      <c r="J20" s="79"/>
      <c r="K20" s="79"/>
      <c r="L20" s="79"/>
      <c r="M20" s="7"/>
      <c r="N20" s="42"/>
      <c r="O20" s="67"/>
      <c r="P20" s="60"/>
      <c r="Q20" s="75"/>
      <c r="R20" s="74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</row>
    <row r="21" spans="1:38" ht="22.5" customHeight="1" x14ac:dyDescent="0.25">
      <c r="A21" s="8"/>
      <c r="B21" s="9"/>
      <c r="C21" s="10"/>
      <c r="D21" s="10"/>
      <c r="E21" s="10"/>
      <c r="F21" s="10"/>
      <c r="G21" s="9"/>
      <c r="H21" s="5"/>
      <c r="I21" s="11">
        <v>2024</v>
      </c>
      <c r="J21" s="11">
        <v>2025</v>
      </c>
      <c r="K21" s="11">
        <v>2026</v>
      </c>
      <c r="L21" s="11">
        <v>2027</v>
      </c>
      <c r="M21" s="7"/>
      <c r="N21" s="40"/>
      <c r="O21" s="53"/>
      <c r="P21" s="53"/>
      <c r="Q21" s="53"/>
      <c r="R21" s="53"/>
    </row>
    <row r="22" spans="1:38" ht="54.75" customHeight="1" x14ac:dyDescent="0.25">
      <c r="A22" s="100">
        <v>4</v>
      </c>
      <c r="B22" s="109" t="s">
        <v>7</v>
      </c>
      <c r="C22" s="107" t="s">
        <v>6</v>
      </c>
      <c r="D22" s="107">
        <v>4501001</v>
      </c>
      <c r="E22" s="107" t="s">
        <v>47</v>
      </c>
      <c r="F22" s="107" t="s">
        <v>51</v>
      </c>
      <c r="G22" s="22" t="s">
        <v>28</v>
      </c>
      <c r="H22" s="23">
        <v>0.4</v>
      </c>
      <c r="I22" s="102">
        <v>0.3</v>
      </c>
      <c r="J22" s="102">
        <v>0.25</v>
      </c>
      <c r="K22" s="102">
        <v>0.25</v>
      </c>
      <c r="L22" s="102">
        <v>0.2</v>
      </c>
      <c r="M22" s="41" t="s">
        <v>67</v>
      </c>
      <c r="N22" s="40">
        <f>2400000*5</f>
        <v>12000000</v>
      </c>
      <c r="O22" s="59" t="s">
        <v>7</v>
      </c>
      <c r="P22" s="60" t="s">
        <v>89</v>
      </c>
      <c r="Q22" s="61"/>
      <c r="R22" s="61"/>
      <c r="S22" s="58" t="s">
        <v>78</v>
      </c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</row>
    <row r="23" spans="1:38" ht="69" customHeight="1" x14ac:dyDescent="0.25">
      <c r="A23" s="101"/>
      <c r="B23" s="110"/>
      <c r="C23" s="108"/>
      <c r="D23" s="108"/>
      <c r="E23" s="108"/>
      <c r="F23" s="108"/>
      <c r="G23" s="22" t="s">
        <v>29</v>
      </c>
      <c r="H23" s="23">
        <v>0.6</v>
      </c>
      <c r="I23" s="103"/>
      <c r="J23" s="103"/>
      <c r="K23" s="103"/>
      <c r="L23" s="103"/>
      <c r="M23" s="7"/>
      <c r="N23" s="40"/>
      <c r="O23" s="59"/>
      <c r="P23" s="60"/>
      <c r="Q23" s="62"/>
      <c r="R23" s="62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</row>
    <row r="24" spans="1:38" ht="22.5" customHeight="1" x14ac:dyDescent="0.25">
      <c r="A24" s="8"/>
      <c r="B24" s="9"/>
      <c r="C24" s="12"/>
      <c r="D24" s="12"/>
      <c r="E24" s="12"/>
      <c r="F24" s="12"/>
      <c r="G24" s="9"/>
      <c r="H24" s="6"/>
      <c r="I24" s="11">
        <v>2024</v>
      </c>
      <c r="J24" s="11">
        <v>2025</v>
      </c>
      <c r="K24" s="11">
        <v>2026</v>
      </c>
      <c r="L24" s="11">
        <v>2027</v>
      </c>
      <c r="M24" s="7"/>
      <c r="N24" s="40"/>
      <c r="O24" s="53"/>
      <c r="P24" s="53"/>
      <c r="Q24" s="53"/>
      <c r="R24" s="53"/>
    </row>
    <row r="25" spans="1:38" ht="60.75" customHeight="1" x14ac:dyDescent="0.25">
      <c r="A25" s="33">
        <v>5</v>
      </c>
      <c r="B25" s="31" t="s">
        <v>10</v>
      </c>
      <c r="C25" s="29" t="s">
        <v>15</v>
      </c>
      <c r="D25" s="29">
        <v>4599013</v>
      </c>
      <c r="E25" s="29" t="s">
        <v>46</v>
      </c>
      <c r="F25" s="29" t="s">
        <v>52</v>
      </c>
      <c r="G25" s="29" t="s">
        <v>22</v>
      </c>
      <c r="H25" s="30">
        <v>1</v>
      </c>
      <c r="I25" s="34">
        <v>0.15</v>
      </c>
      <c r="J25" s="34">
        <v>0.25</v>
      </c>
      <c r="K25" s="34">
        <v>0.35</v>
      </c>
      <c r="L25" s="34">
        <v>0.25</v>
      </c>
      <c r="M25" s="5" t="s">
        <v>67</v>
      </c>
      <c r="N25" s="40">
        <f>2400000*5</f>
        <v>12000000</v>
      </c>
      <c r="O25" s="55" t="s">
        <v>10</v>
      </c>
      <c r="P25" s="54" t="s">
        <v>94</v>
      </c>
      <c r="Q25" s="54"/>
      <c r="R25" s="54"/>
      <c r="S25" s="58" t="s">
        <v>79</v>
      </c>
      <c r="T25" s="58"/>
      <c r="U25" s="58"/>
      <c r="V25" s="58"/>
      <c r="W25" s="58"/>
      <c r="X25" s="58"/>
      <c r="Y25" s="58"/>
      <c r="Z25" s="58"/>
      <c r="AA25" s="58"/>
      <c r="AB25" s="58"/>
      <c r="AC25" s="58" t="s">
        <v>80</v>
      </c>
      <c r="AD25" s="58"/>
      <c r="AE25" s="58"/>
      <c r="AF25" s="58"/>
      <c r="AG25" s="58"/>
      <c r="AH25" s="58"/>
      <c r="AI25" s="58"/>
      <c r="AJ25" s="58"/>
      <c r="AK25" s="58"/>
      <c r="AL25" s="58"/>
    </row>
    <row r="26" spans="1:38" ht="20.25" customHeight="1" x14ac:dyDescent="0.25">
      <c r="A26" s="8"/>
      <c r="B26" s="9"/>
      <c r="C26" s="12"/>
      <c r="D26" s="12"/>
      <c r="E26" s="12"/>
      <c r="F26" s="12"/>
      <c r="G26" s="9"/>
      <c r="H26" s="6"/>
      <c r="I26" s="11">
        <v>2024</v>
      </c>
      <c r="J26" s="11">
        <v>2025</v>
      </c>
      <c r="K26" s="11">
        <v>2026</v>
      </c>
      <c r="L26" s="11">
        <v>2027</v>
      </c>
      <c r="M26" s="7"/>
      <c r="N26" s="42"/>
      <c r="O26" s="32"/>
      <c r="P26" s="32"/>
      <c r="Q26" s="32"/>
      <c r="R26" s="32"/>
    </row>
    <row r="27" spans="1:38" ht="49.5" customHeight="1" x14ac:dyDescent="0.25">
      <c r="A27" s="114">
        <v>6</v>
      </c>
      <c r="B27" s="106" t="s">
        <v>11</v>
      </c>
      <c r="C27" s="105" t="s">
        <v>16</v>
      </c>
      <c r="D27" s="107" t="s">
        <v>40</v>
      </c>
      <c r="E27" s="107" t="s">
        <v>48</v>
      </c>
      <c r="F27" s="107" t="s">
        <v>53</v>
      </c>
      <c r="G27" s="35" t="s">
        <v>24</v>
      </c>
      <c r="H27" s="36">
        <v>0.3</v>
      </c>
      <c r="I27" s="82">
        <v>0.25</v>
      </c>
      <c r="J27" s="82">
        <v>0.25</v>
      </c>
      <c r="K27" s="82">
        <v>0.35</v>
      </c>
      <c r="L27" s="82">
        <v>0.15</v>
      </c>
      <c r="M27" s="7"/>
      <c r="N27" s="42"/>
      <c r="O27" s="57" t="s">
        <v>11</v>
      </c>
      <c r="P27" s="61" t="s">
        <v>95</v>
      </c>
      <c r="Q27" s="60" t="s">
        <v>96</v>
      </c>
      <c r="R27" s="63"/>
      <c r="S27" s="58" t="s">
        <v>81</v>
      </c>
      <c r="T27" s="58"/>
      <c r="U27" s="58"/>
      <c r="V27" s="58"/>
      <c r="W27" s="58"/>
      <c r="X27" s="58"/>
      <c r="Y27" s="58"/>
      <c r="Z27" s="58"/>
      <c r="AA27" s="58"/>
      <c r="AB27" s="58"/>
      <c r="AC27" s="125" t="s">
        <v>83</v>
      </c>
      <c r="AD27" s="125"/>
      <c r="AE27" s="125"/>
      <c r="AF27" s="125"/>
      <c r="AG27" s="125"/>
      <c r="AH27" s="125"/>
      <c r="AI27" s="125"/>
      <c r="AJ27" s="125"/>
      <c r="AK27" s="125"/>
      <c r="AL27" s="125"/>
    </row>
    <row r="28" spans="1:38" ht="47.25" customHeight="1" x14ac:dyDescent="0.25">
      <c r="A28" s="114"/>
      <c r="B28" s="106"/>
      <c r="C28" s="105"/>
      <c r="D28" s="115"/>
      <c r="E28" s="115"/>
      <c r="F28" s="115"/>
      <c r="G28" s="22" t="s">
        <v>23</v>
      </c>
      <c r="H28" s="23">
        <v>0.4</v>
      </c>
      <c r="I28" s="82"/>
      <c r="J28" s="82"/>
      <c r="K28" s="82"/>
      <c r="L28" s="82"/>
      <c r="M28" s="5" t="s">
        <v>67</v>
      </c>
      <c r="N28" s="43">
        <v>62180000</v>
      </c>
      <c r="O28" s="57"/>
      <c r="P28" s="66"/>
      <c r="Q28" s="60"/>
      <c r="R28" s="64"/>
      <c r="S28" s="58" t="s">
        <v>82</v>
      </c>
      <c r="T28" s="58"/>
      <c r="U28" s="58"/>
      <c r="V28" s="58"/>
      <c r="W28" s="58"/>
      <c r="X28" s="58"/>
      <c r="Y28" s="58"/>
      <c r="Z28" s="58"/>
      <c r="AA28" s="58"/>
      <c r="AB28" s="58"/>
      <c r="AC28" s="58" t="s">
        <v>84</v>
      </c>
      <c r="AD28" s="58"/>
      <c r="AE28" s="58"/>
      <c r="AF28" s="58"/>
      <c r="AG28" s="58"/>
      <c r="AH28" s="58"/>
      <c r="AI28" s="58"/>
      <c r="AJ28" s="58"/>
      <c r="AK28" s="58"/>
      <c r="AL28" s="58"/>
    </row>
    <row r="29" spans="1:38" ht="48" customHeight="1" x14ac:dyDescent="0.25">
      <c r="A29" s="114"/>
      <c r="B29" s="106"/>
      <c r="C29" s="105"/>
      <c r="D29" s="108"/>
      <c r="E29" s="108"/>
      <c r="F29" s="108"/>
      <c r="G29" s="22" t="s">
        <v>30</v>
      </c>
      <c r="H29" s="23">
        <v>0.3</v>
      </c>
      <c r="I29" s="82"/>
      <c r="J29" s="82"/>
      <c r="K29" s="82"/>
      <c r="L29" s="82"/>
      <c r="M29" s="7"/>
      <c r="N29" s="42"/>
      <c r="O29" s="57"/>
      <c r="P29" s="62"/>
      <c r="Q29" s="60"/>
      <c r="R29" s="65"/>
      <c r="S29" s="58" t="s">
        <v>82</v>
      </c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</row>
    <row r="30" spans="1:38" ht="21.75" customHeight="1" x14ac:dyDescent="0.25">
      <c r="A30" s="8"/>
      <c r="B30" s="9"/>
      <c r="C30" s="12"/>
      <c r="D30" s="12"/>
      <c r="E30" s="12"/>
      <c r="F30" s="12"/>
      <c r="G30" s="9"/>
      <c r="H30" s="5"/>
      <c r="I30" s="11">
        <v>2024</v>
      </c>
      <c r="J30" s="11">
        <v>2025</v>
      </c>
      <c r="K30" s="11">
        <v>2026</v>
      </c>
      <c r="L30" s="11">
        <v>2027</v>
      </c>
      <c r="M30" s="45" t="s">
        <v>66</v>
      </c>
      <c r="N30" s="46">
        <f>SUM(N1:N29)</f>
        <v>1028000000</v>
      </c>
      <c r="O30" s="32"/>
      <c r="P30" s="32"/>
      <c r="Q30" s="32"/>
      <c r="R30" s="32"/>
    </row>
    <row r="31" spans="1:38" ht="23.25" customHeight="1" x14ac:dyDescent="0.25">
      <c r="A31" s="8"/>
      <c r="B31" s="9"/>
      <c r="C31" s="12"/>
      <c r="D31" s="12"/>
      <c r="E31" s="12"/>
      <c r="F31" s="12"/>
      <c r="G31" s="9"/>
      <c r="H31" s="5"/>
      <c r="I31" s="13"/>
      <c r="J31" s="13"/>
      <c r="K31" s="13"/>
      <c r="L31" s="13"/>
      <c r="M31" s="7"/>
      <c r="N31" s="42"/>
      <c r="O31" s="32"/>
      <c r="P31" s="32"/>
      <c r="Q31" s="32"/>
      <c r="R31" s="32"/>
    </row>
    <row r="32" spans="1:38" x14ac:dyDescent="0.25">
      <c r="O32" s="56"/>
      <c r="P32" s="56"/>
      <c r="Q32" s="56"/>
      <c r="R32" s="56"/>
    </row>
  </sheetData>
  <mergeCells count="121">
    <mergeCell ref="S3:AL5"/>
    <mergeCell ref="P10:P11"/>
    <mergeCell ref="Q3:Q5"/>
    <mergeCell ref="C3:C5"/>
    <mergeCell ref="D3:D5"/>
    <mergeCell ref="E3:E5"/>
    <mergeCell ref="C7:C9"/>
    <mergeCell ref="D7:D9"/>
    <mergeCell ref="I7:I9"/>
    <mergeCell ref="J7:J9"/>
    <mergeCell ref="K7:K9"/>
    <mergeCell ref="L7:L9"/>
    <mergeCell ref="B7:B9"/>
    <mergeCell ref="A7:A9"/>
    <mergeCell ref="L12:L16"/>
    <mergeCell ref="G12:G14"/>
    <mergeCell ref="H12:H14"/>
    <mergeCell ref="I12:I16"/>
    <mergeCell ref="J12:J16"/>
    <mergeCell ref="K12:K16"/>
    <mergeCell ref="A27:A29"/>
    <mergeCell ref="I27:I29"/>
    <mergeCell ref="J27:J29"/>
    <mergeCell ref="D27:D29"/>
    <mergeCell ref="F27:F29"/>
    <mergeCell ref="E27:E29"/>
    <mergeCell ref="L10:L11"/>
    <mergeCell ref="C10:C11"/>
    <mergeCell ref="B10:B11"/>
    <mergeCell ref="A10:A11"/>
    <mergeCell ref="I10:I11"/>
    <mergeCell ref="J10:J11"/>
    <mergeCell ref="K10:K11"/>
    <mergeCell ref="D10:D11"/>
    <mergeCell ref="F7:F11"/>
    <mergeCell ref="E7:E11"/>
    <mergeCell ref="A22:A23"/>
    <mergeCell ref="I22:I23"/>
    <mergeCell ref="J22:J23"/>
    <mergeCell ref="K27:K29"/>
    <mergeCell ref="L27:L29"/>
    <mergeCell ref="K22:K23"/>
    <mergeCell ref="L22:L23"/>
    <mergeCell ref="B17:B20"/>
    <mergeCell ref="C27:C29"/>
    <mergeCell ref="B27:B29"/>
    <mergeCell ref="C22:C23"/>
    <mergeCell ref="B22:B23"/>
    <mergeCell ref="F17:F20"/>
    <mergeCell ref="D17:D20"/>
    <mergeCell ref="E17:E20"/>
    <mergeCell ref="D22:D23"/>
    <mergeCell ref="F22:F23"/>
    <mergeCell ref="E22:E23"/>
    <mergeCell ref="S1:AL1"/>
    <mergeCell ref="A17:A20"/>
    <mergeCell ref="I17:I20"/>
    <mergeCell ref="J17:J20"/>
    <mergeCell ref="K17:K20"/>
    <mergeCell ref="L17:L20"/>
    <mergeCell ref="C17:C20"/>
    <mergeCell ref="I1:L1"/>
    <mergeCell ref="I3:I5"/>
    <mergeCell ref="J3:J5"/>
    <mergeCell ref="K3:K5"/>
    <mergeCell ref="L3:L5"/>
    <mergeCell ref="F3:F5"/>
    <mergeCell ref="A12:A16"/>
    <mergeCell ref="B12:B16"/>
    <mergeCell ref="C12:C16"/>
    <mergeCell ref="D12:D16"/>
    <mergeCell ref="E12:E16"/>
    <mergeCell ref="F12:F16"/>
    <mergeCell ref="A3:A5"/>
    <mergeCell ref="B3:B5"/>
    <mergeCell ref="S12:AL16"/>
    <mergeCell ref="AB10:AC10"/>
    <mergeCell ref="AB11:AC11"/>
    <mergeCell ref="O17:O20"/>
    <mergeCell ref="S10:AA10"/>
    <mergeCell ref="S11:AA11"/>
    <mergeCell ref="O12:O16"/>
    <mergeCell ref="P12:P16"/>
    <mergeCell ref="R3:R5"/>
    <mergeCell ref="R7:R9"/>
    <mergeCell ref="R10:R11"/>
    <mergeCell ref="R12:R16"/>
    <mergeCell ref="R17:R20"/>
    <mergeCell ref="P17:P20"/>
    <mergeCell ref="Q10:Q11"/>
    <mergeCell ref="Q12:Q16"/>
    <mergeCell ref="Q17:Q20"/>
    <mergeCell ref="S17:AL20"/>
    <mergeCell ref="Q7:Q9"/>
    <mergeCell ref="S7:AL9"/>
    <mergeCell ref="AD10:AL10"/>
    <mergeCell ref="AD11:AL11"/>
    <mergeCell ref="O3:O5"/>
    <mergeCell ref="O7:O9"/>
    <mergeCell ref="O10:O11"/>
    <mergeCell ref="P3:P5"/>
    <mergeCell ref="P7:P9"/>
    <mergeCell ref="O27:O29"/>
    <mergeCell ref="S27:Z27"/>
    <mergeCell ref="S28:Z28"/>
    <mergeCell ref="S29:Z29"/>
    <mergeCell ref="O22:O23"/>
    <mergeCell ref="P22:P23"/>
    <mergeCell ref="S22:AL23"/>
    <mergeCell ref="S25:Z25"/>
    <mergeCell ref="AA25:AB25"/>
    <mergeCell ref="AC25:AL25"/>
    <mergeCell ref="R22:R23"/>
    <mergeCell ref="R27:R29"/>
    <mergeCell ref="P27:P29"/>
    <mergeCell ref="Q22:Q23"/>
    <mergeCell ref="Q27:Q29"/>
    <mergeCell ref="AA27:AB27"/>
    <mergeCell ref="AC27:AL27"/>
    <mergeCell ref="AA28:AB29"/>
    <mergeCell ref="AC28:AL29"/>
  </mergeCells>
  <pageMargins left="0" right="0" top="0" bottom="0" header="0.31496062992125984" footer="0.31496062992125984"/>
  <pageSetup paperSize="122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HAIDEN</dc:creator>
  <cp:lastModifiedBy>Héctor Mayor</cp:lastModifiedBy>
  <cp:lastPrinted>2024-08-15T22:12:27Z</cp:lastPrinted>
  <dcterms:created xsi:type="dcterms:W3CDTF">2024-06-07T03:19:21Z</dcterms:created>
  <dcterms:modified xsi:type="dcterms:W3CDTF">2024-10-01T13:35:42Z</dcterms:modified>
</cp:coreProperties>
</file>